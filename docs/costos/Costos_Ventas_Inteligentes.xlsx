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  <sheet xmlns:r="http://schemas.openxmlformats.org/officeDocument/2006/relationships" name="Supue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7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  <font>
      <b val="1"/>
      <color rgb="001F3A5F"/>
      <sz val="12"/>
    </font>
    <font>
      <b val="1"/>
    </font>
    <font>
      <b val="1"/>
      <color rgb="001F5FBF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9" fontId="0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3" customWidth="1" min="5" max="5"/>
    <col width="13" customWidth="1" min="6" max="6"/>
    <col width="16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Costo mensual y anual por cuenta (cliente) — cambia las cantidades en azul</t>
        </is>
      </c>
    </row>
    <row r="3" ht="45" customHeight="1">
      <c r="A3" s="2" t="inlineStr">
        <is>
          <t>Escenario</t>
        </is>
      </c>
      <c r="B3" s="2" t="inlineStr">
        <is>
          <t>Admins (Author Pro)</t>
        </is>
      </c>
      <c r="C3" s="2" t="inlineStr">
        <is>
          <t>Usuarios con chat (Reader Pro)</t>
        </is>
      </c>
      <c r="D3" s="2" t="inlineStr">
        <is>
          <t>Usuarios solo dashboard (Reader)</t>
        </is>
      </c>
      <c r="E3" s="2" t="inlineStr">
        <is>
          <t>Cuota Quick</t>
        </is>
      </c>
      <c r="F3" s="2" t="inlineStr">
        <is>
          <t>Licencias</t>
        </is>
      </c>
      <c r="G3" s="2" t="inlineStr">
        <is>
          <t>Infra AWS + Cognito</t>
        </is>
      </c>
      <c r="H3" s="2" t="inlineStr">
        <is>
          <t>Total mensual</t>
        </is>
      </c>
      <c r="I3" s="2" t="inlineStr">
        <is>
          <t>Total anual</t>
        </is>
      </c>
      <c r="J3" s="2" t="inlineStr">
        <is>
          <t>% licencias Quick</t>
        </is>
      </c>
    </row>
    <row r="4">
      <c r="A4" s="3" t="inlineStr">
        <is>
          <t>Piloto (10 con chat)</t>
        </is>
      </c>
      <c r="B4" s="4" t="n">
        <v>1</v>
      </c>
      <c r="C4" s="4" t="n">
        <v>10</v>
      </c>
      <c r="D4" s="4" t="n">
        <v>0</v>
      </c>
      <c r="E4" s="5">
        <f>Supuestos!$B$4</f>
        <v/>
      </c>
      <c r="F4" s="5">
        <f>B4*Supuestos!$B$5+C4*Supuestos!$B$6+D4*Supuestos!$B$7</f>
        <v/>
      </c>
      <c r="G4" s="5">
        <f>Supuestos!$B$19+(B4+C4+D4)*Supuestos!$B$8</f>
        <v/>
      </c>
      <c r="H4" s="6">
        <f>E4+F4+G4</f>
        <v/>
      </c>
      <c r="I4" s="7">
        <f>H4*12</f>
        <v/>
      </c>
      <c r="J4" s="8">
        <f>(E4+F4)/H4</f>
        <v/>
      </c>
    </row>
    <row r="5">
      <c r="A5" s="3" t="inlineStr">
        <is>
          <t>Área comercial (50 con chat)</t>
        </is>
      </c>
      <c r="B5" s="4" t="n">
        <v>1</v>
      </c>
      <c r="C5" s="4" t="n">
        <v>50</v>
      </c>
      <c r="D5" s="4" t="n">
        <v>0</v>
      </c>
      <c r="E5" s="5">
        <f>Supuestos!$B$4</f>
        <v/>
      </c>
      <c r="F5" s="5">
        <f>B5*Supuestos!$B$5+C5*Supuestos!$B$6+D5*Supuestos!$B$7</f>
        <v/>
      </c>
      <c r="G5" s="5">
        <f>Supuestos!$B$19+(B5+C5+D5)*Supuestos!$B$8</f>
        <v/>
      </c>
      <c r="H5" s="6">
        <f>E5+F5+G5</f>
        <v/>
      </c>
      <c r="I5" s="7">
        <f>H5*12</f>
        <v/>
      </c>
      <c r="J5" s="8">
        <f>(E5+F5)/H5</f>
        <v/>
      </c>
    </row>
    <row r="6">
      <c r="A6" s="3" t="inlineStr">
        <is>
          <t>Empresa (100 con chat)</t>
        </is>
      </c>
      <c r="B6" s="4" t="n">
        <v>1</v>
      </c>
      <c r="C6" s="4" t="n">
        <v>100</v>
      </c>
      <c r="D6" s="4" t="n">
        <v>0</v>
      </c>
      <c r="E6" s="5">
        <f>Supuestos!$B$4</f>
        <v/>
      </c>
      <c r="F6" s="5">
        <f>B6*Supuestos!$B$5+C6*Supuestos!$B$6+D6*Supuestos!$B$7</f>
        <v/>
      </c>
      <c r="G6" s="5">
        <f>Supuestos!$B$19+(B6+C6+D6)*Supuestos!$B$8</f>
        <v/>
      </c>
      <c r="H6" s="6">
        <f>E6+F6+G6</f>
        <v/>
      </c>
      <c r="I6" s="7">
        <f>H6*12</f>
        <v/>
      </c>
      <c r="J6" s="8">
        <f>(E6+F6)/H6</f>
        <v/>
      </c>
    </row>
    <row r="7">
      <c r="A7" s="3" t="inlineStr">
        <is>
          <t>Mixto (10 con chat + 90 solo dashboard)</t>
        </is>
      </c>
      <c r="B7" s="4" t="n">
        <v>1</v>
      </c>
      <c r="C7" s="4" t="n">
        <v>10</v>
      </c>
      <c r="D7" s="4" t="n">
        <v>90</v>
      </c>
      <c r="E7" s="5">
        <f>Supuestos!$B$4</f>
        <v/>
      </c>
      <c r="F7" s="5">
        <f>B7*Supuestos!$B$5+C7*Supuestos!$B$6+D7*Supuestos!$B$7</f>
        <v/>
      </c>
      <c r="G7" s="5">
        <f>Supuestos!$B$19+(B7+C7+D7)*Supuestos!$B$8</f>
        <v/>
      </c>
      <c r="H7" s="6">
        <f>E7+F7+G7</f>
        <v/>
      </c>
      <c r="I7" s="7">
        <f>H7*12</f>
        <v/>
      </c>
      <c r="J7" s="8">
        <f>(E7+F7)/H7</f>
        <v/>
      </c>
    </row>
    <row r="10">
      <c r="A10" s="9" t="inlineStr">
        <is>
          <t>Notas</t>
        </is>
      </c>
    </row>
    <row r="11">
      <c r="A11" t="inlineStr">
        <is>
          <t>• Precios en USD, región us-east-1, sin impuestos. Fuente: página oficial de precios de Amazon Quick (septiembre 2026).</t>
        </is>
      </c>
    </row>
    <row r="12">
      <c r="A12" t="inlineStr">
        <is>
          <t>• La cuota de $250 es por cuenta de AWS: con una cuenta por cliente, se paga una vez por cliente.</t>
        </is>
      </c>
    </row>
    <row r="13">
      <c r="A13" t="inlineStr">
        <is>
          <t>• Infraestructura AWS estimada con el uso real de septiembre 2026 (Cost Explorer) más margen.</t>
        </is>
      </c>
    </row>
    <row r="14">
      <c r="A14" t="inlineStr">
        <is>
          <t>• No incluye: desarrollo, soporte, dominio propio ni impuestos locales.</t>
        </is>
      </c>
    </row>
    <row r="15">
      <c r="A15" t="inlineStr">
        <is>
          <t>• La cuenta de AWS actual comparte gastos con otros proyectos (~$710/mes en DynamoDB, Transfer Family y OpenSearch) que NO son de esta solución.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58" customWidth="1" min="3" max="3"/>
  </cols>
  <sheetData>
    <row r="1">
      <c r="A1" s="1" t="inlineStr">
        <is>
          <t>Precios unitarios (USD/mes) — editables</t>
        </is>
      </c>
    </row>
    <row r="3">
      <c r="A3" s="2" t="inlineStr">
        <is>
          <t>Concepto</t>
        </is>
      </c>
      <c r="B3" s="2" t="inlineStr">
        <is>
          <t>Precio</t>
        </is>
      </c>
      <c r="C3" s="2" t="inlineStr">
        <is>
          <t>Nota</t>
        </is>
      </c>
    </row>
    <row r="4">
      <c r="A4" s="3" t="inlineStr">
        <is>
          <t>Cuota de infraestructura Quick (por cuenta)</t>
        </is>
      </c>
      <c r="B4" s="5" t="n">
        <v>250</v>
      </c>
      <c r="C4" s="3" t="inlineStr">
        <is>
          <t>Fija por cuenta con usuarios Pro o chat habilitado</t>
        </is>
      </c>
    </row>
    <row r="5">
      <c r="A5" s="3" t="inlineStr">
        <is>
          <t>Author Pro (administrador)</t>
        </is>
      </c>
      <c r="B5" s="5" t="n">
        <v>40</v>
      </c>
      <c r="C5" s="3" t="inlineStr">
        <is>
          <t>Mantiene topic, agente y dashboard</t>
        </is>
      </c>
    </row>
    <row r="6">
      <c r="A6" s="3" t="inlineStr">
        <is>
          <t>Reader Pro (dashboard + chat)</t>
        </is>
      </c>
      <c r="B6" s="5" t="n">
        <v>20</v>
      </c>
      <c r="C6" s="3" t="inlineStr">
        <is>
          <t>Por usuario</t>
        </is>
      </c>
    </row>
    <row r="7">
      <c r="A7" s="3" t="inlineStr">
        <is>
          <t>Reader (solo dashboard)</t>
        </is>
      </c>
      <c r="B7" s="5" t="n">
        <v>3</v>
      </c>
      <c r="C7" s="3" t="inlineStr">
        <is>
          <t>Por usuario, sin chat</t>
        </is>
      </c>
    </row>
    <row r="8">
      <c r="A8" s="3" t="inlineStr">
        <is>
          <t>Cognito Plus por usuario activo (MAU)</t>
        </is>
      </c>
      <c r="B8" s="5" t="n">
        <v>0.02</v>
      </c>
      <c r="C8" s="3" t="inlineStr">
        <is>
          <t>Por usuario activo al mes</t>
        </is>
      </c>
    </row>
    <row r="10">
      <c r="A10" s="10" t="inlineStr">
        <is>
          <t>Infraestructura AWS fija por cuenta (USD/mes)</t>
        </is>
      </c>
    </row>
    <row r="11">
      <c r="A11" s="2" t="inlineStr">
        <is>
          <t>Servicio</t>
        </is>
      </c>
      <c r="B11" s="2" t="inlineStr">
        <is>
          <t>Costo</t>
        </is>
      </c>
      <c r="C11" s="2" t="inlineStr">
        <is>
          <t>Base</t>
        </is>
      </c>
    </row>
    <row r="12">
      <c r="A12" s="3" t="inlineStr">
        <is>
          <t>AWS WAF (1 Web ACL + 4 reglas)</t>
        </is>
      </c>
      <c r="B12" s="5" t="n">
        <v>9</v>
      </c>
      <c r="C12" s="3" t="inlineStr">
        <is>
          <t>$5 ACL + $1 por regla; $0.60 por millón de solicitudes</t>
        </is>
      </c>
    </row>
    <row r="13">
      <c r="A13" s="3" t="inlineStr">
        <is>
          <t>AWS Glue (cargas + barrido diario)</t>
        </is>
      </c>
      <c r="B13" s="5" t="n">
        <v>3</v>
      </c>
      <c r="C13" s="3" t="inlineStr">
        <is>
          <t>Real sep-2026: $0.33; margen para más cargas</t>
        </is>
      </c>
    </row>
    <row r="14">
      <c r="A14" s="3" t="inlineStr">
        <is>
          <t>Amazon Athena</t>
        </is>
      </c>
      <c r="B14" s="5" t="n">
        <v>3</v>
      </c>
      <c r="C14" s="3" t="inlineStr">
        <is>
          <t>Real sep-2026: $2.58</t>
        </is>
      </c>
    </row>
    <row r="15">
      <c r="A15" s="3" t="inlineStr">
        <is>
          <t>CloudWatch logs (90 días) y 11 alarmas</t>
        </is>
      </c>
      <c r="B15" s="5" t="n">
        <v>3.1</v>
      </c>
      <c r="C15" s="3" t="inlineStr">
        <is>
          <t>$0.10 por alarma + ingesta de logs</t>
        </is>
      </c>
    </row>
    <row r="16">
      <c r="A16" s="3" t="inlineStr">
        <is>
          <t>Amazon S3 (datos, web, versiones)</t>
        </is>
      </c>
      <c r="B16" s="5" t="n">
        <v>1</v>
      </c>
      <c r="C16" s="3" t="inlineStr">
        <is>
          <t>~105 MB de datos hoy</t>
        </is>
      </c>
    </row>
    <row r="17">
      <c r="A17" s="3" t="inlineStr">
        <is>
          <t>AWS KMS (llave del topic de alertas)</t>
        </is>
      </c>
      <c r="B17" s="5" t="n">
        <v>1</v>
      </c>
      <c r="C17" s="3" t="inlineStr">
        <is>
          <t>$1 por llave al mes</t>
        </is>
      </c>
    </row>
    <row r="18">
      <c r="A18" s="3" t="inlineStr">
        <is>
          <t>Lambda, API Gateway, CloudFront, SPICE, X-Ray</t>
        </is>
      </c>
      <c r="B18" s="5" t="n">
        <v>1.9</v>
      </c>
      <c r="C18" s="3" t="inlineStr">
        <is>
          <t>Dentro o cerca de la capa gratuita</t>
        </is>
      </c>
    </row>
    <row r="19">
      <c r="A19" s="11" t="inlineStr">
        <is>
          <t>Total infraestructura AWS</t>
        </is>
      </c>
      <c r="B19" s="12">
        <f>SUM(B12:B18)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2026-09-28T04:06:24Z</dcterms:created>
  <dcterms:modified xmlns:dcterms="http://purl.org/dc/terms/" xmlns:xsi="http://www.w3.org/2001/XMLSchema-instance" xsi:type="dcterms:W3CDTF">2026-09-28T04:06:24Z</dcterms:modified>
</cp:coreProperties>
</file>